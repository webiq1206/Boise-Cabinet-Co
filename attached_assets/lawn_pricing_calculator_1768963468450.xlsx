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Calculator" sheetId="1" state="visible" r:id="rId3"/>
    <sheet name="Reference - Size Conversions" sheetId="2" state="visible" r:id="rId4"/>
    <sheet name="Quick Quote Calculat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<sst xmlns="http://schemas.openxmlformats.org/spreadsheetml/2006/main" count="273" uniqueCount="210">
  <si>
    <t xml:space="preserve">Service</t>
  </si>
  <si>
    <t xml:space="preserve">UOM</t>
  </si>
  <si>
    <t xml:space="preserve">Low Rate</t>
  </si>
  <si>
    <t xml:space="preserve">High Rate</t>
  </si>
  <si>
    <t xml:space="preserve">Minimum</t>
  </si>
  <si>
    <t xml:space="preserve">Qty Input</t>
  </si>
  <si>
    <t xml:space="preserve">Calculated Low</t>
  </si>
  <si>
    <t xml:space="preserve">Calculated High</t>
  </si>
  <si>
    <t xml:space="preserve">Notes/Formula</t>
  </si>
  <si>
    <t xml:space="preserve">LAWN CARE SERVICES</t>
  </si>
  <si>
    <t xml:space="preserve">Lawn Mowing</t>
  </si>
  <si>
    <t xml:space="preserve">per 1,000 sq ft</t>
  </si>
  <si>
    <t xml:space="preserve">Base $35 + $5-10/1K sf over 5K sf. Weekly discount 10-15%</t>
  </si>
  <si>
    <t xml:space="preserve">Lawn Mowing (by acre)</t>
  </si>
  <si>
    <t xml:space="preserve">per acre</t>
  </si>
  <si>
    <t xml:space="preserve">Based on Boise area data. 1 acre = 43,560 sq ft</t>
  </si>
  <si>
    <t xml:space="preserve">Lawn Aeration (Core)</t>
  </si>
  <si>
    <t xml:space="preserve">$75-200 base; larger lawns $10-18/1K sf</t>
  </si>
  <si>
    <t xml:space="preserve">Bulk acre pricing for larger properties</t>
  </si>
  <si>
    <t xml:space="preserve">Dethatching</t>
  </si>
  <si>
    <t xml:space="preserve">Power rake method; $0.04-0.07/sf typical</t>
  </si>
  <si>
    <t xml:space="preserve">Overseeding</t>
  </si>
  <si>
    <t xml:space="preserve">Seed + labor; premium grass higher</t>
  </si>
  <si>
    <t xml:space="preserve">Aeration + Overseeding Combo</t>
  </si>
  <si>
    <t xml:space="preserve">Combined service 10-15% discount</t>
  </si>
  <si>
    <t xml:space="preserve">Fertilization (per app)</t>
  </si>
  <si>
    <t xml:space="preserve">$4-6/1K for apps; 4-6 apps/year typical</t>
  </si>
  <si>
    <t xml:space="preserve">Fertilization (annual program)</t>
  </si>
  <si>
    <t xml:space="preserve">4-6 applications included annually</t>
  </si>
  <si>
    <t xml:space="preserve">Weed Control (per app)</t>
  </si>
  <si>
    <t xml:space="preserve">Pre/post emergent herbicide application</t>
  </si>
  <si>
    <t xml:space="preserve">Weed &amp; Feed Combo</t>
  </si>
  <si>
    <t xml:space="preserve">Fertilizer + weed control combined</t>
  </si>
  <si>
    <t xml:space="preserve">Edging (bed borders)</t>
  </si>
  <si>
    <t xml:space="preserve">per linear ft</t>
  </si>
  <si>
    <t xml:space="preserve">Cut-in or spade edging</t>
  </si>
  <si>
    <t xml:space="preserve">String Trimming</t>
  </si>
  <si>
    <t xml:space="preserve">Around fences, beds, obstacles</t>
  </si>
  <si>
    <t xml:space="preserve">Lawn Renovation (full)</t>
  </si>
  <si>
    <t xml:space="preserve">Aerate+dethatch+overseed+fert package</t>
  </si>
  <si>
    <t xml:space="preserve">LANDSCAPING SERVICES</t>
  </si>
  <si>
    <t xml:space="preserve">Mulch Installation</t>
  </si>
  <si>
    <t xml:space="preserve">per cubic yard</t>
  </si>
  <si>
    <t xml:space="preserve">Material $30-65 + labor $20-50/yd. 1 cu yd covers ~100 sf @ 3"</t>
  </si>
  <si>
    <t xml:space="preserve">Mulch (blown/large jobs)</t>
  </si>
  <si>
    <t xml:space="preserve">Bulk discount for 5+ yards</t>
  </si>
  <si>
    <t xml:space="preserve">Sod Installation (new)</t>
  </si>
  <si>
    <t xml:space="preserve">per sq ft</t>
  </si>
  <si>
    <t xml:space="preserve">Material $0.30-0.80 + labor $0.50-1.00/sf</t>
  </si>
  <si>
    <t xml:space="preserve">Sod Installation (resod)</t>
  </si>
  <si>
    <t xml:space="preserve">Includes old lawn removal + disposal</t>
  </si>
  <si>
    <t xml:space="preserve">Grading/Leveling (for sod)</t>
  </si>
  <si>
    <t xml:space="preserve">Site prep before sod install</t>
  </si>
  <si>
    <t xml:space="preserve">Hedge/Shrub Trimming</t>
  </si>
  <si>
    <t xml:space="preserve">per shrub</t>
  </si>
  <si>
    <t xml:space="preserve">Small shrubs $5-8; large/tall $12-15+</t>
  </si>
  <si>
    <t xml:space="preserve">per hour</t>
  </si>
  <si>
    <t xml:space="preserve">2-person crew typical</t>
  </si>
  <si>
    <t xml:space="preserve">Bed Cleanup/Weeding</t>
  </si>
  <si>
    <t xml:space="preserve">Manual weeding and debris removal</t>
  </si>
  <si>
    <t xml:space="preserve">Plant Installation</t>
  </si>
  <si>
    <t xml:space="preserve">per gallon pot</t>
  </si>
  <si>
    <t xml:space="preserve">Includes plant + planting labor</t>
  </si>
  <si>
    <t xml:space="preserve">HARDSCAPING</t>
  </si>
  <si>
    <t xml:space="preserve">Paver Patio Installation</t>
  </si>
  <si>
    <t xml:space="preserve">Concrete pavers $10-17; brick/stone higher</t>
  </si>
  <si>
    <t xml:space="preserve">Paver Walkway</t>
  </si>
  <si>
    <t xml:space="preserve">Includes base prep, materials, labor</t>
  </si>
  <si>
    <t xml:space="preserve">Paver Driveway</t>
  </si>
  <si>
    <t xml:space="preserve">Heavier base req'd; higher material grade</t>
  </si>
  <si>
    <t xml:space="preserve">Concrete Patio (broom)</t>
  </si>
  <si>
    <t xml:space="preserve">Basic poured concrete finish</t>
  </si>
  <si>
    <t xml:space="preserve">Concrete Patio (stamped)</t>
  </si>
  <si>
    <t xml:space="preserve">Decorative stamped patterns</t>
  </si>
  <si>
    <t xml:space="preserve">Retaining Wall (block)</t>
  </si>
  <si>
    <t xml:space="preserve">per sq ft face</t>
  </si>
  <si>
    <t xml:space="preserve">Interlocking block; &lt;4ft no engineering</t>
  </si>
  <si>
    <t xml:space="preserve">Retaining Wall (stone)</t>
  </si>
  <si>
    <t xml:space="preserve">Natural stone; premium finish</t>
  </si>
  <si>
    <t xml:space="preserve">Retaining Wall (per LF)</t>
  </si>
  <si>
    <t xml:space="preserve">Height dependent; 4ft = $80-250/LF</t>
  </si>
  <si>
    <t xml:space="preserve">Fire Pit (prefab)</t>
  </si>
  <si>
    <t xml:space="preserve">flat fee</t>
  </si>
  <si>
    <t xml:space="preserve">Portable or kit installation</t>
  </si>
  <si>
    <t xml:space="preserve">Fire Pit (custom built)</t>
  </si>
  <si>
    <t xml:space="preserve">Built-in stone/brick; gas adds $500-1500</t>
  </si>
  <si>
    <t xml:space="preserve">IRRIGATION &amp; LIGHTING</t>
  </si>
  <si>
    <t xml:space="preserve">Sprinkler System (full)</t>
  </si>
  <si>
    <t xml:space="preserve">per zone</t>
  </si>
  <si>
    <t xml:space="preserve">Full system 5-6 zones = $3500-6000</t>
  </si>
  <si>
    <t xml:space="preserve">Sprinkler Head Replacement</t>
  </si>
  <si>
    <t xml:space="preserve">per head</t>
  </si>
  <si>
    <t xml:space="preserve">Material + labor; rotor vs spray</t>
  </si>
  <si>
    <t xml:space="preserve">Sprinkler Repair (general)</t>
  </si>
  <si>
    <t xml:space="preserve">per visit</t>
  </si>
  <si>
    <t xml:space="preserve">Diagnostic + repair; parts extra</t>
  </si>
  <si>
    <t xml:space="preserve">Sprinkler Line Repair</t>
  </si>
  <si>
    <t xml:space="preserve">per repair</t>
  </si>
  <si>
    <t xml:space="preserve">Pipe break/leak repair</t>
  </si>
  <si>
    <t xml:space="preserve">Winterization (blowout)</t>
  </si>
  <si>
    <t xml:space="preserve">Base $50-75 for first 5 zones</t>
  </si>
  <si>
    <t xml:space="preserve">Spring Startup</t>
  </si>
  <si>
    <t xml:space="preserve">Inspection + activation</t>
  </si>
  <si>
    <t xml:space="preserve">Drip Irrigation Install</t>
  </si>
  <si>
    <t xml:space="preserve">Drip line in beds</t>
  </si>
  <si>
    <t xml:space="preserve">Landscape Lighting (low V)</t>
  </si>
  <si>
    <t xml:space="preserve">per fixture</t>
  </si>
  <si>
    <t xml:space="preserve">LED path/spot lights installed</t>
  </si>
  <si>
    <t xml:space="preserve">Landscape Lighting (line V)</t>
  </si>
  <si>
    <t xml:space="preserve">120V fixtures; electrician may req'd</t>
  </si>
  <si>
    <t xml:space="preserve">TREE &amp; STUMP SERVICES</t>
  </si>
  <si>
    <t xml:space="preserve">Tree Trimming (small &lt;15ft)</t>
  </si>
  <si>
    <t xml:space="preserve">per tree</t>
  </si>
  <si>
    <t xml:space="preserve">Small ornamental trees</t>
  </si>
  <si>
    <t xml:space="preserve">Tree Trimming (med 15-30ft)</t>
  </si>
  <si>
    <t xml:space="preserve">Medium shade trees</t>
  </si>
  <si>
    <t xml:space="preserve">Tree Trimming (large 30ft+)</t>
  </si>
  <si>
    <t xml:space="preserve">Large trees; bucket truck may req'd</t>
  </si>
  <si>
    <t xml:space="preserve">Tree Trimming (hourly)</t>
  </si>
  <si>
    <t xml:space="preserve">3-person crew; $190-250/hr</t>
  </si>
  <si>
    <t xml:space="preserve">Tree Removal (small &lt;15ft)</t>
  </si>
  <si>
    <t xml:space="preserve">Includes haul-away</t>
  </si>
  <si>
    <t xml:space="preserve">Tree Removal (med 15-30ft)</t>
  </si>
  <si>
    <t xml:space="preserve">May require crane/equipment</t>
  </si>
  <si>
    <t xml:space="preserve">Tree Removal (large 30ft+)</t>
  </si>
  <si>
    <t xml:space="preserve">Hazardous/difficult access higher</t>
  </si>
  <si>
    <t xml:space="preserve">Stump Grinding</t>
  </si>
  <si>
    <t xml:space="preserve">per inch diameter</t>
  </si>
  <si>
    <t xml:space="preserve">Measure at ground level; min 100-150</t>
  </si>
  <si>
    <t xml:space="preserve">Stump Removal (full)</t>
  </si>
  <si>
    <t xml:space="preserve">per stump</t>
  </si>
  <si>
    <t xml:space="preserve">Complete root ball removal</t>
  </si>
  <si>
    <t xml:space="preserve">SEASONAL SERVICES</t>
  </si>
  <si>
    <t xml:space="preserve">Spring Cleanup</t>
  </si>
  <si>
    <t xml:space="preserve">Debris, leaves, bed cleanup, pruning</t>
  </si>
  <si>
    <t xml:space="preserve">Fall Cleanup</t>
  </si>
  <si>
    <t xml:space="preserve">Leaf removal, winterizing, cut-back</t>
  </si>
  <si>
    <t xml:space="preserve">Leaf Removal</t>
  </si>
  <si>
    <t xml:space="preserve">Blowing, raking, haul-away</t>
  </si>
  <si>
    <t xml:space="preserve">Gutter Cleaning</t>
  </si>
  <si>
    <t xml:space="preserve">Single story; 2-story add 50%</t>
  </si>
  <si>
    <t xml:space="preserve">Snow Removal (per visit)</t>
  </si>
  <si>
    <t xml:space="preserve">Driveway + walks; depth dependent</t>
  </si>
  <si>
    <t xml:space="preserve">Snow Removal (hourly)</t>
  </si>
  <si>
    <t xml:space="preserve">Larger properties/lots</t>
  </si>
  <si>
    <t xml:space="preserve">Snow Removal (seasonal)</t>
  </si>
  <si>
    <t xml:space="preserve">per season</t>
  </si>
  <si>
    <t xml:space="preserve">Contract for unlimited visits</t>
  </si>
  <si>
    <t xml:space="preserve">Christmas Lights Install</t>
  </si>
  <si>
    <t xml:space="preserve">Install + removal included</t>
  </si>
  <si>
    <t xml:space="preserve">Christmas Lights (per home)</t>
  </si>
  <si>
    <t xml:space="preserve">Roofline + shrubs typical</t>
  </si>
  <si>
    <t xml:space="preserve">COMMERCIAL &amp; HOA</t>
  </si>
  <si>
    <t xml:space="preserve">Commercial Mowing</t>
  </si>
  <si>
    <t xml:space="preserve">Weekly service; flat open areas</t>
  </si>
  <si>
    <t xml:space="preserve">HOA Common Area Maint</t>
  </si>
  <si>
    <t xml:space="preserve">per month</t>
  </si>
  <si>
    <t xml:space="preserve">Custom quote - varies by scope</t>
  </si>
  <si>
    <t xml:space="preserve">Parking Lot Sweeping</t>
  </si>
  <si>
    <t xml:space="preserve">Mechanical sweeping</t>
  </si>
  <si>
    <t xml:space="preserve">Commercial Snow Plowing</t>
  </si>
  <si>
    <t xml:space="preserve">Size/complexity dependent</t>
  </si>
  <si>
    <t xml:space="preserve">Commercial Salt/Ice Melt</t>
  </si>
  <si>
    <t xml:space="preserve">Material + application</t>
  </si>
  <si>
    <t xml:space="preserve">AREA CONVERSIONS</t>
  </si>
  <si>
    <t xml:space="preserve">1 acre</t>
  </si>
  <si>
    <t xml:space="preserve">=</t>
  </si>
  <si>
    <t xml:space="preserve">43,560 sq ft</t>
  </si>
  <si>
    <t xml:space="preserve">1/2 acre</t>
  </si>
  <si>
    <t xml:space="preserve">21,780 sq ft</t>
  </si>
  <si>
    <t xml:space="preserve">1/4 acre</t>
  </si>
  <si>
    <t xml:space="preserve">10,890 sq ft</t>
  </si>
  <si>
    <t xml:space="preserve">1/8 acre</t>
  </si>
  <si>
    <t xml:space="preserve">5,445 sq ft</t>
  </si>
  <si>
    <t xml:space="preserve">MULCH COVERAGE (at 3" depth)</t>
  </si>
  <si>
    <t xml:space="preserve">1 cubic yard</t>
  </si>
  <si>
    <t xml:space="preserve">covers</t>
  </si>
  <si>
    <t xml:space="preserve">~108 sq ft</t>
  </si>
  <si>
    <t xml:space="preserve">At 2" depth</t>
  </si>
  <si>
    <t xml:space="preserve">~162 sq ft</t>
  </si>
  <si>
    <t xml:space="preserve">1 bag (2 cu ft)</t>
  </si>
  <si>
    <t xml:space="preserve">~8 sq ft</t>
  </si>
  <si>
    <t xml:space="preserve">SOD COVERAGE</t>
  </si>
  <si>
    <t xml:space="preserve">1 pallet</t>
  </si>
  <si>
    <t xml:space="preserve">400-500 sq ft</t>
  </si>
  <si>
    <t xml:space="preserve">1 roll (2x1.5 ft)</t>
  </si>
  <si>
    <t xml:space="preserve">3 sq ft</t>
  </si>
  <si>
    <t xml:space="preserve">COMMON LOT SIZES (Kuna/Boise)</t>
  </si>
  <si>
    <t xml:space="preserve">Small yard</t>
  </si>
  <si>
    <t xml:space="preserve">3,000-5,000 sq ft</t>
  </si>
  <si>
    <t xml:space="preserve">Average yard</t>
  </si>
  <si>
    <t xml:space="preserve">7,000-10,000 sq ft</t>
  </si>
  <si>
    <t xml:space="preserve">Large yard</t>
  </si>
  <si>
    <t xml:space="preserve">15,000-20,000 sq ft</t>
  </si>
  <si>
    <t xml:space="preserve">RETAINING WALL CALCULATION</t>
  </si>
  <si>
    <t xml:space="preserve">Square footage</t>
  </si>
  <si>
    <t xml:space="preserve">Length (ft) x Height (ft)</t>
  </si>
  <si>
    <t xml:space="preserve">Example: 20ft long x 3ft high</t>
  </si>
  <si>
    <t xml:space="preserve">60 sq ft face area</t>
  </si>
  <si>
    <t xml:space="preserve">SPRINKLER ZONES</t>
  </si>
  <si>
    <t xml:space="preserve">Average residential home</t>
  </si>
  <si>
    <t xml:space="preserve">5-8 zones</t>
  </si>
  <si>
    <t xml:space="preserve">Zone coverage</t>
  </si>
  <si>
    <t xml:space="preserve">~1,000-1,500 sq ft each</t>
  </si>
  <si>
    <t xml:space="preserve">Qty</t>
  </si>
  <si>
    <t xml:space="preserve">Rate Used</t>
  </si>
  <si>
    <t xml:space="preserve">Subtotal</t>
  </si>
  <si>
    <t xml:space="preserve">SUBTOTAL:</t>
  </si>
  <si>
    <t xml:space="preserve">Tax (if applicable):</t>
  </si>
  <si>
    <t xml:space="preserve">TOTAL: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</si>
</sst>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538135"/>
        <bgColor rgb="FF80800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38135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6" min="3" style="1" width="12"/>
    <col collapsed="false" customWidth="true" hidden="false" outlineLevel="0" max="8" min="7" style="1" width="15"/>
    <col collapsed="false" customWidth="true" hidden="false" outlineLevel="0" max="9" min="9" style="1" width="60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10</v>
      </c>
      <c r="B3" s="4" t="s">
        <v>11</v>
      </c>
      <c r="C3" s="5" t="n">
        <v>6.25</v>
      </c>
      <c r="D3" s="5" t="n">
        <v>10</v>
      </c>
      <c r="E3" s="6" t="n">
        <v>35</v>
      </c>
      <c r="F3" s="7"/>
      <c r="G3" s="8" t="n">
        <f aca="false">MAX(E3,C3*F3)</f>
        <v>35</v>
      </c>
      <c r="H3" s="8" t="n">
        <f aca="false">MAX(E3,D3*F3)</f>
        <v>35</v>
      </c>
      <c r="I3" s="4" t="s">
        <v>12</v>
      </c>
    </row>
    <row r="4" customFormat="false" ht="15" hidden="false" customHeight="true" outlineLevel="0" collapsed="false">
      <c r="A4" s="4" t="s">
        <v>13</v>
      </c>
      <c r="B4" s="4" t="s">
        <v>14</v>
      </c>
      <c r="C4" s="5" t="n">
        <v>101.25</v>
      </c>
      <c r="D4" s="5" t="n">
        <v>96</v>
      </c>
      <c r="E4" s="6" t="n">
        <v>35</v>
      </c>
      <c r="F4" s="7"/>
      <c r="G4" s="8" t="n">
        <f aca="false">MAX(E4,C4*F4)</f>
        <v>35</v>
      </c>
      <c r="H4" s="8" t="n">
        <f aca="false">MAX(E4,D4*F4)</f>
        <v>35</v>
      </c>
      <c r="I4" s="4" t="s">
        <v>15</v>
      </c>
    </row>
    <row r="5" customFormat="false" ht="15" hidden="false" customHeight="true" outlineLevel="0" collapsed="false">
      <c r="A5" s="4" t="s">
        <v>16</v>
      </c>
      <c r="B5" s="4" t="s">
        <v>11</v>
      </c>
      <c r="C5" s="5" t="n">
        <v>12.5</v>
      </c>
      <c r="D5" s="5" t="n">
        <v>18</v>
      </c>
      <c r="E5" s="6" t="n">
        <v>75</v>
      </c>
      <c r="F5" s="7"/>
      <c r="G5" s="8" t="n">
        <f aca="false">MAX(E5,C5*F5)</f>
        <v>75</v>
      </c>
      <c r="H5" s="8" t="n">
        <f aca="false">MAX(E5,D5*F5)</f>
        <v>75</v>
      </c>
      <c r="I5" s="4" t="s">
        <v>17</v>
      </c>
    </row>
    <row r="6" customFormat="false" ht="15" hidden="false" customHeight="true" outlineLevel="0" collapsed="false">
      <c r="A6" s="4" t="s">
        <v>16</v>
      </c>
      <c r="B6" s="4" t="s">
        <v>14</v>
      </c>
      <c r="C6" s="5" t="n">
        <v>750</v>
      </c>
      <c r="D6" s="5" t="n">
        <v>800</v>
      </c>
      <c r="E6" s="6" t="n">
        <v>150</v>
      </c>
      <c r="F6" s="7"/>
      <c r="G6" s="8" t="n">
        <f aca="false">MAX(E6,C6*F6)</f>
        <v>150</v>
      </c>
      <c r="H6" s="8" t="n">
        <f aca="false">MAX(E6,D6*F6)</f>
        <v>150</v>
      </c>
      <c r="I6" s="4" t="s">
        <v>18</v>
      </c>
    </row>
    <row r="7" customFormat="false" ht="15" hidden="false" customHeight="true" outlineLevel="0" collapsed="false">
      <c r="A7" s="4" t="s">
        <v>19</v>
      </c>
      <c r="B7" s="4" t="s">
        <v>11</v>
      </c>
      <c r="C7" s="5" t="n">
        <v>12.5</v>
      </c>
      <c r="D7" s="5" t="n">
        <v>20</v>
      </c>
      <c r="E7" s="6" t="n">
        <v>100</v>
      </c>
      <c r="F7" s="7"/>
      <c r="G7" s="8" t="n">
        <f aca="false">MAX(E7,C7*F7)</f>
        <v>100</v>
      </c>
      <c r="H7" s="8" t="n">
        <f aca="false">MAX(E7,D7*F7)</f>
        <v>100</v>
      </c>
      <c r="I7" s="4" t="s">
        <v>20</v>
      </c>
    </row>
    <row r="8" customFormat="false" ht="15" hidden="false" customHeight="true" outlineLevel="0" collapsed="false">
      <c r="A8" s="4" t="s">
        <v>21</v>
      </c>
      <c r="B8" s="4" t="s">
        <v>11</v>
      </c>
      <c r="C8" s="5" t="n">
        <v>12.5</v>
      </c>
      <c r="D8" s="5" t="n">
        <v>30</v>
      </c>
      <c r="E8" s="6" t="n">
        <v>100</v>
      </c>
      <c r="F8" s="7"/>
      <c r="G8" s="8" t="n">
        <f aca="false">MAX(E8,C8*F8)</f>
        <v>100</v>
      </c>
      <c r="H8" s="8" t="n">
        <f aca="false">MAX(E8,D8*F8)</f>
        <v>100</v>
      </c>
      <c r="I8" s="4" t="s">
        <v>22</v>
      </c>
    </row>
    <row r="9" customFormat="false" ht="15" hidden="false" customHeight="true" outlineLevel="0" collapsed="false">
      <c r="A9" s="4" t="s">
        <v>23</v>
      </c>
      <c r="B9" s="4" t="s">
        <v>11</v>
      </c>
      <c r="C9" s="5" t="n">
        <v>20</v>
      </c>
      <c r="D9" s="5" t="n">
        <v>42</v>
      </c>
      <c r="E9" s="6" t="n">
        <v>160</v>
      </c>
      <c r="F9" s="7"/>
      <c r="G9" s="8" t="n">
        <f aca="false">MAX(E9,C9*F9)</f>
        <v>160</v>
      </c>
      <c r="H9" s="8" t="n">
        <f aca="false">MAX(E9,D9*F9)</f>
        <v>160</v>
      </c>
      <c r="I9" s="4" t="s">
        <v>24</v>
      </c>
    </row>
    <row r="10" customFormat="false" ht="15" hidden="false" customHeight="true" outlineLevel="0" collapsed="false">
      <c r="A10" s="4" t="s">
        <v>25</v>
      </c>
      <c r="B10" s="4" t="s">
        <v>11</v>
      </c>
      <c r="C10" s="5" t="n">
        <v>5</v>
      </c>
      <c r="D10" s="5" t="n">
        <v>8</v>
      </c>
      <c r="E10" s="6" t="n">
        <v>50</v>
      </c>
      <c r="F10" s="7"/>
      <c r="G10" s="8" t="n">
        <f aca="false">MAX(E10,C10*F10)</f>
        <v>50</v>
      </c>
      <c r="H10" s="8" t="n">
        <f aca="false">MAX(E10,D10*F10)</f>
        <v>50</v>
      </c>
      <c r="I10" s="4" t="s">
        <v>26</v>
      </c>
    </row>
    <row r="11" customFormat="false" ht="15" hidden="false" customHeight="true" outlineLevel="0" collapsed="false">
      <c r="A11" s="4" t="s">
        <v>27</v>
      </c>
      <c r="B11" s="4" t="s">
        <v>11</v>
      </c>
      <c r="C11" s="5" t="n">
        <v>25</v>
      </c>
      <c r="D11" s="5" t="n">
        <v>40</v>
      </c>
      <c r="E11" s="6" t="n">
        <v>260</v>
      </c>
      <c r="F11" s="7"/>
      <c r="G11" s="8" t="n">
        <f aca="false">MAX(E11,C11*F11)</f>
        <v>260</v>
      </c>
      <c r="H11" s="8" t="n">
        <f aca="false">MAX(E11,D11*F11)</f>
        <v>260</v>
      </c>
      <c r="I11" s="4" t="s">
        <v>28</v>
      </c>
    </row>
    <row r="12" customFormat="false" ht="15" hidden="false" customHeight="true" outlineLevel="0" collapsed="false">
      <c r="A12" s="4" t="s">
        <v>29</v>
      </c>
      <c r="B12" s="4" t="s">
        <v>11</v>
      </c>
      <c r="C12" s="5" t="n">
        <v>3.75</v>
      </c>
      <c r="D12" s="5" t="n">
        <v>6</v>
      </c>
      <c r="E12" s="6" t="n">
        <v>50</v>
      </c>
      <c r="F12" s="7"/>
      <c r="G12" s="8" t="n">
        <f aca="false">MAX(E12,C12*F12)</f>
        <v>50</v>
      </c>
      <c r="H12" s="8" t="n">
        <f aca="false">MAX(E12,D12*F12)</f>
        <v>50</v>
      </c>
      <c r="I12" s="4" t="s">
        <v>30</v>
      </c>
    </row>
    <row r="13" customFormat="false" ht="15" hidden="false" customHeight="true" outlineLevel="0" collapsed="false">
      <c r="A13" s="4" t="s">
        <v>31</v>
      </c>
      <c r="B13" s="4" t="s">
        <v>11</v>
      </c>
      <c r="C13" s="5" t="n">
        <v>6.25</v>
      </c>
      <c r="D13" s="5" t="n">
        <v>10</v>
      </c>
      <c r="E13" s="6" t="n">
        <v>65</v>
      </c>
      <c r="F13" s="7"/>
      <c r="G13" s="8" t="n">
        <f aca="false">MAX(E13,C13*F13)</f>
        <v>65</v>
      </c>
      <c r="H13" s="8" t="n">
        <f aca="false">MAX(E13,D13*F13)</f>
        <v>65</v>
      </c>
      <c r="I13" s="4" t="s">
        <v>32</v>
      </c>
    </row>
    <row r="14" customFormat="false" ht="15" hidden="false" customHeight="true" outlineLevel="0" collapsed="false">
      <c r="A14" s="4" t="s">
        <v>33</v>
      </c>
      <c r="B14" s="4" t="s">
        <v>34</v>
      </c>
      <c r="C14" s="5" t="n">
        <v>0.625</v>
      </c>
      <c r="D14" s="5" t="n">
        <v>1.5</v>
      </c>
      <c r="E14" s="6" t="n">
        <v>50</v>
      </c>
      <c r="F14" s="7"/>
      <c r="G14" s="8" t="n">
        <f aca="false">MAX(E14,C14*F14)</f>
        <v>50</v>
      </c>
      <c r="H14" s="8" t="n">
        <f aca="false">MAX(E14,D14*F14)</f>
        <v>50</v>
      </c>
      <c r="I14" s="4" t="s">
        <v>35</v>
      </c>
    </row>
    <row r="15" customFormat="false" ht="15" hidden="false" customHeight="true" outlineLevel="0" collapsed="false">
      <c r="A15" s="4" t="s">
        <v>36</v>
      </c>
      <c r="B15" s="4" t="s">
        <v>34</v>
      </c>
      <c r="C15" s="5" t="n">
        <v>0.625</v>
      </c>
      <c r="D15" s="5" t="n">
        <v>1</v>
      </c>
      <c r="E15" s="6" t="n">
        <v>30</v>
      </c>
      <c r="F15" s="7"/>
      <c r="G15" s="8" t="n">
        <f aca="false">MAX(E15,C15*F15)</f>
        <v>30</v>
      </c>
      <c r="H15" s="8" t="n">
        <f aca="false">MAX(E15,D15*F15)</f>
        <v>30</v>
      </c>
      <c r="I15" s="4" t="s">
        <v>37</v>
      </c>
    </row>
    <row r="16" customFormat="false" ht="15" hidden="false" customHeight="true" outlineLevel="0" collapsed="false">
      <c r="A16" s="4" t="s">
        <v>38</v>
      </c>
      <c r="B16" s="4" t="s">
        <v>11</v>
      </c>
      <c r="C16" s="5" t="n">
        <v>62.5</v>
      </c>
      <c r="D16" s="5" t="n">
        <v>100</v>
      </c>
      <c r="E16" s="6" t="n">
        <v>500</v>
      </c>
      <c r="F16" s="7"/>
      <c r="G16" s="8" t="n">
        <f aca="false">MAX(E16,C16*F16)</f>
        <v>500</v>
      </c>
      <c r="H16" s="8" t="n">
        <f aca="false">MAX(E16,D16*F16)</f>
        <v>500</v>
      </c>
      <c r="I16" s="4" t="s">
        <v>39</v>
      </c>
    </row>
    <row r="17" customFormat="false" ht="15" hidden="false" customHeight="true" outlineLevel="0" collapsed="false">
      <c r="A17" s="3" t="s">
        <v>40</v>
      </c>
      <c r="B17" s="3"/>
      <c r="C17" s="3"/>
      <c r="D17" s="3"/>
      <c r="E17" s="3"/>
      <c r="F17" s="3"/>
      <c r="G17" s="3"/>
      <c r="H17" s="3"/>
      <c r="I17" s="3"/>
    </row>
    <row r="18" customFormat="false" ht="15" hidden="false" customHeight="true" outlineLevel="0" collapsed="false">
      <c r="A18" s="4" t="s">
        <v>41</v>
      </c>
      <c r="B18" s="4" t="s">
        <v>42</v>
      </c>
      <c r="C18" s="5" t="n">
        <v>87.5</v>
      </c>
      <c r="D18" s="5" t="n">
        <v>110</v>
      </c>
      <c r="E18" s="6" t="n">
        <v>150</v>
      </c>
      <c r="F18" s="7"/>
      <c r="G18" s="8" t="n">
        <f aca="false">MAX(E18,C18*F18)</f>
        <v>150</v>
      </c>
      <c r="H18" s="8" t="n">
        <f aca="false">MAX(E18,D18*F18)</f>
        <v>150</v>
      </c>
      <c r="I18" s="4" t="s">
        <v>43</v>
      </c>
    </row>
    <row r="19" customFormat="false" ht="15" hidden="false" customHeight="true" outlineLevel="0" collapsed="false">
      <c r="A19" s="4" t="s">
        <v>44</v>
      </c>
      <c r="B19" s="4" t="s">
        <v>42</v>
      </c>
      <c r="C19" s="5" t="n">
        <v>75</v>
      </c>
      <c r="D19" s="5" t="n">
        <v>85</v>
      </c>
      <c r="E19" s="6" t="n">
        <v>250</v>
      </c>
      <c r="F19" s="7"/>
      <c r="G19" s="8" t="n">
        <f aca="false">MAX(E19,C19*F19)</f>
        <v>250</v>
      </c>
      <c r="H19" s="8" t="n">
        <f aca="false">MAX(E19,D19*F19)</f>
        <v>250</v>
      </c>
      <c r="I19" s="4" t="s">
        <v>45</v>
      </c>
    </row>
    <row r="20" customFormat="false" ht="15" hidden="false" customHeight="true" outlineLevel="0" collapsed="false">
      <c r="A20" s="4" t="s">
        <v>46</v>
      </c>
      <c r="B20" s="4" t="s">
        <v>47</v>
      </c>
      <c r="C20" s="5" t="n">
        <v>1.25</v>
      </c>
      <c r="D20" s="5" t="n">
        <v>2</v>
      </c>
      <c r="E20" s="6" t="n">
        <v>500</v>
      </c>
      <c r="F20" s="7"/>
      <c r="G20" s="8" t="n">
        <f aca="false">MAX(E20,C20*F20)</f>
        <v>500</v>
      </c>
      <c r="H20" s="8" t="n">
        <f aca="false">MAX(E20,D20*F20)</f>
        <v>500</v>
      </c>
      <c r="I20" s="4" t="s">
        <v>48</v>
      </c>
    </row>
    <row r="21" customFormat="false" ht="15" hidden="false" customHeight="true" outlineLevel="0" collapsed="false">
      <c r="A21" s="4" t="s">
        <v>49</v>
      </c>
      <c r="B21" s="4" t="s">
        <v>47</v>
      </c>
      <c r="C21" s="5" t="n">
        <v>1.875</v>
      </c>
      <c r="D21" s="5" t="n">
        <v>4</v>
      </c>
      <c r="E21" s="6" t="n">
        <v>750</v>
      </c>
      <c r="F21" s="7"/>
      <c r="G21" s="8" t="n">
        <f aca="false">MAX(E21,C21*F21)</f>
        <v>750</v>
      </c>
      <c r="H21" s="8" t="n">
        <f aca="false">MAX(E21,D21*F21)</f>
        <v>750</v>
      </c>
      <c r="I21" s="4" t="s">
        <v>50</v>
      </c>
    </row>
    <row r="22" customFormat="false" ht="15" hidden="false" customHeight="true" outlineLevel="0" collapsed="false">
      <c r="A22" s="4" t="s">
        <v>51</v>
      </c>
      <c r="B22" s="4" t="s">
        <v>47</v>
      </c>
      <c r="C22" s="5" t="n">
        <v>0.3125</v>
      </c>
      <c r="D22" s="5" t="n">
        <v>0.65</v>
      </c>
      <c r="E22" s="6" t="n">
        <v>200</v>
      </c>
      <c r="F22" s="7"/>
      <c r="G22" s="8" t="n">
        <f aca="false">MAX(E22,C22*F22)</f>
        <v>200</v>
      </c>
      <c r="H22" s="8" t="n">
        <f aca="false">MAX(E22,D22*F22)</f>
        <v>200</v>
      </c>
      <c r="I22" s="4" t="s">
        <v>52</v>
      </c>
    </row>
    <row r="23" customFormat="false" ht="15" hidden="false" customHeight="true" outlineLevel="0" collapsed="false">
      <c r="A23" s="4" t="s">
        <v>53</v>
      </c>
      <c r="B23" s="4" t="s">
        <v>54</v>
      </c>
      <c r="C23" s="5" t="n">
        <v>6.25</v>
      </c>
      <c r="D23" s="5" t="n">
        <v>15</v>
      </c>
      <c r="E23" s="6" t="n">
        <v>50</v>
      </c>
      <c r="F23" s="7"/>
      <c r="G23" s="8" t="n">
        <f aca="false">MAX(E23,C23*F23)</f>
        <v>50</v>
      </c>
      <c r="H23" s="8" t="n">
        <f aca="false">MAX(E23,D23*F23)</f>
        <v>50</v>
      </c>
      <c r="I23" s="4" t="s">
        <v>55</v>
      </c>
    </row>
    <row r="24" customFormat="false" ht="15" hidden="false" customHeight="true" outlineLevel="0" collapsed="false">
      <c r="A24" s="4" t="s">
        <v>53</v>
      </c>
      <c r="B24" s="4" t="s">
        <v>56</v>
      </c>
      <c r="C24" s="5" t="n">
        <v>62.5</v>
      </c>
      <c r="D24" s="5" t="n">
        <v>100</v>
      </c>
      <c r="E24" s="6" t="n">
        <v>50</v>
      </c>
      <c r="F24" s="7"/>
      <c r="G24" s="8" t="n">
        <f aca="false">MAX(E24,C24*F24)</f>
        <v>50</v>
      </c>
      <c r="H24" s="8" t="n">
        <f aca="false">MAX(E24,D24*F24)</f>
        <v>50</v>
      </c>
      <c r="I24" s="4" t="s">
        <v>57</v>
      </c>
    </row>
    <row r="25" customFormat="false" ht="15" hidden="false" customHeight="true" outlineLevel="0" collapsed="false">
      <c r="A25" s="4" t="s">
        <v>58</v>
      </c>
      <c r="B25" s="4" t="s">
        <v>56</v>
      </c>
      <c r="C25" s="5" t="n">
        <v>62.5</v>
      </c>
      <c r="D25" s="5" t="n">
        <v>75</v>
      </c>
      <c r="E25" s="6" t="n">
        <v>50</v>
      </c>
      <c r="F25" s="7"/>
      <c r="G25" s="8" t="n">
        <f aca="false">MAX(E25,C25*F25)</f>
        <v>50</v>
      </c>
      <c r="H25" s="8" t="n">
        <f aca="false">MAX(E25,D25*F25)</f>
        <v>50</v>
      </c>
      <c r="I25" s="4" t="s">
        <v>59</v>
      </c>
    </row>
    <row r="26" customFormat="false" ht="15" hidden="false" customHeight="true" outlineLevel="0" collapsed="false">
      <c r="A26" s="4" t="s">
        <v>60</v>
      </c>
      <c r="B26" s="4" t="s">
        <v>61</v>
      </c>
      <c r="C26" s="5" t="n">
        <v>18.75</v>
      </c>
      <c r="D26" s="5" t="n">
        <v>35</v>
      </c>
      <c r="E26" s="6" t="n">
        <v>75</v>
      </c>
      <c r="F26" s="7"/>
      <c r="G26" s="8" t="n">
        <f aca="false">MAX(E26,C26*F26)</f>
        <v>75</v>
      </c>
      <c r="H26" s="8" t="n">
        <f aca="false">MAX(E26,D26*F26)</f>
        <v>75</v>
      </c>
      <c r="I26" s="4" t="s">
        <v>62</v>
      </c>
    </row>
    <row r="27" customFormat="false" ht="15" hidden="false" customHeight="true" outlineLevel="0" collapsed="false">
      <c r="A27" s="3" t="s">
        <v>63</v>
      </c>
      <c r="B27" s="3"/>
      <c r="C27" s="3"/>
      <c r="D27" s="3"/>
      <c r="E27" s="3"/>
      <c r="F27" s="3"/>
      <c r="G27" s="3"/>
      <c r="H27" s="3"/>
      <c r="I27" s="3"/>
    </row>
    <row r="28" customFormat="false" ht="15" hidden="false" customHeight="true" outlineLevel="0" collapsed="false">
      <c r="A28" s="4" t="s">
        <v>64</v>
      </c>
      <c r="B28" s="4" t="s">
        <v>47</v>
      </c>
      <c r="C28" s="5" t="n">
        <v>12.5</v>
      </c>
      <c r="D28" s="5" t="n">
        <v>24</v>
      </c>
      <c r="E28" s="6" t="n">
        <v>1500</v>
      </c>
      <c r="F28" s="7"/>
      <c r="G28" s="8" t="n">
        <f aca="false">MAX(E28,C28*F28)</f>
        <v>1500</v>
      </c>
      <c r="H28" s="8" t="n">
        <f aca="false">MAX(E28,D28*F28)</f>
        <v>1500</v>
      </c>
      <c r="I28" s="4" t="s">
        <v>65</v>
      </c>
    </row>
    <row r="29" customFormat="false" ht="15" hidden="false" customHeight="true" outlineLevel="0" collapsed="false">
      <c r="A29" s="4" t="s">
        <v>66</v>
      </c>
      <c r="B29" s="4" t="s">
        <v>47</v>
      </c>
      <c r="C29" s="5" t="n">
        <v>12.5</v>
      </c>
      <c r="D29" s="5" t="n">
        <v>20</v>
      </c>
      <c r="E29" s="6" t="n">
        <v>900</v>
      </c>
      <c r="F29" s="7"/>
      <c r="G29" s="8" t="n">
        <f aca="false">MAX(E29,C29*F29)</f>
        <v>900</v>
      </c>
      <c r="H29" s="8" t="n">
        <f aca="false">MAX(E29,D29*F29)</f>
        <v>900</v>
      </c>
      <c r="I29" s="4" t="s">
        <v>67</v>
      </c>
    </row>
    <row r="30" customFormat="false" ht="15" hidden="false" customHeight="true" outlineLevel="0" collapsed="false">
      <c r="A30" s="4" t="s">
        <v>68</v>
      </c>
      <c r="B30" s="4" t="s">
        <v>47</v>
      </c>
      <c r="C30" s="5" t="n">
        <v>12.5</v>
      </c>
      <c r="D30" s="5" t="n">
        <v>30</v>
      </c>
      <c r="E30" s="6" t="n">
        <v>3000</v>
      </c>
      <c r="F30" s="7"/>
      <c r="G30" s="8" t="n">
        <f aca="false">MAX(E30,C30*F30)</f>
        <v>3000</v>
      </c>
      <c r="H30" s="8" t="n">
        <f aca="false">MAX(E30,D30*F30)</f>
        <v>3000</v>
      </c>
      <c r="I30" s="4" t="s">
        <v>69</v>
      </c>
    </row>
    <row r="31" customFormat="false" ht="15" hidden="false" customHeight="true" outlineLevel="0" collapsed="false">
      <c r="A31" s="4" t="s">
        <v>70</v>
      </c>
      <c r="B31" s="4" t="s">
        <v>47</v>
      </c>
      <c r="C31" s="5" t="n">
        <v>7.5</v>
      </c>
      <c r="D31" s="5" t="n">
        <v>10</v>
      </c>
      <c r="E31" s="6" t="n">
        <v>800</v>
      </c>
      <c r="F31" s="7"/>
      <c r="G31" s="8" t="n">
        <f aca="false">MAX(E31,C31*F31)</f>
        <v>800</v>
      </c>
      <c r="H31" s="8" t="n">
        <f aca="false">MAX(E31,D31*F31)</f>
        <v>800</v>
      </c>
      <c r="I31" s="4" t="s">
        <v>71</v>
      </c>
    </row>
    <row r="32" customFormat="false" ht="15" hidden="false" customHeight="true" outlineLevel="0" collapsed="false">
      <c r="A32" s="4" t="s">
        <v>72</v>
      </c>
      <c r="B32" s="4" t="s">
        <v>47</v>
      </c>
      <c r="C32" s="5" t="n">
        <v>15</v>
      </c>
      <c r="D32" s="5" t="n">
        <v>18</v>
      </c>
      <c r="E32" s="6" t="n">
        <v>1200</v>
      </c>
      <c r="F32" s="7"/>
      <c r="G32" s="8" t="n">
        <f aca="false">MAX(E32,C32*F32)</f>
        <v>1200</v>
      </c>
      <c r="H32" s="8" t="n">
        <f aca="false">MAX(E32,D32*F32)</f>
        <v>1200</v>
      </c>
      <c r="I32" s="4" t="s">
        <v>73</v>
      </c>
    </row>
    <row r="33" customFormat="false" ht="15" hidden="false" customHeight="true" outlineLevel="0" collapsed="false">
      <c r="A33" s="4" t="s">
        <v>74</v>
      </c>
      <c r="B33" s="4" t="s">
        <v>75</v>
      </c>
      <c r="C33" s="5" t="n">
        <v>25</v>
      </c>
      <c r="D33" s="5" t="n">
        <v>45</v>
      </c>
      <c r="E33" s="6" t="n">
        <v>1500</v>
      </c>
      <c r="F33" s="7"/>
      <c r="G33" s="8" t="n">
        <f aca="false">MAX(E33,C33*F33)</f>
        <v>1500</v>
      </c>
      <c r="H33" s="8" t="n">
        <f aca="false">MAX(E33,D33*F33)</f>
        <v>1500</v>
      </c>
      <c r="I33" s="4" t="s">
        <v>76</v>
      </c>
    </row>
    <row r="34" customFormat="false" ht="15" hidden="false" customHeight="true" outlineLevel="0" collapsed="false">
      <c r="A34" s="4" t="s">
        <v>77</v>
      </c>
      <c r="B34" s="4" t="s">
        <v>75</v>
      </c>
      <c r="C34" s="5" t="n">
        <v>31.25</v>
      </c>
      <c r="D34" s="5" t="n">
        <v>75</v>
      </c>
      <c r="E34" s="6" t="n">
        <v>2000</v>
      </c>
      <c r="F34" s="7"/>
      <c r="G34" s="8" t="n">
        <f aca="false">MAX(E34,C34*F34)</f>
        <v>2000</v>
      </c>
      <c r="H34" s="8" t="n">
        <f aca="false">MAX(E34,D34*F34)</f>
        <v>2000</v>
      </c>
      <c r="I34" s="4" t="s">
        <v>78</v>
      </c>
    </row>
    <row r="35" customFormat="false" ht="15" hidden="false" customHeight="true" outlineLevel="0" collapsed="false">
      <c r="A35" s="4" t="s">
        <v>79</v>
      </c>
      <c r="B35" s="4" t="s">
        <v>34</v>
      </c>
      <c r="C35" s="5" t="n">
        <v>50</v>
      </c>
      <c r="D35" s="5" t="n">
        <v>345</v>
      </c>
      <c r="E35" s="6" t="n">
        <v>1500</v>
      </c>
      <c r="F35" s="7"/>
      <c r="G35" s="8" t="n">
        <f aca="false">MAX(E35,C35*F35)</f>
        <v>1500</v>
      </c>
      <c r="H35" s="8" t="n">
        <f aca="false">MAX(E35,D35*F35)</f>
        <v>1500</v>
      </c>
      <c r="I35" s="4" t="s">
        <v>80</v>
      </c>
    </row>
    <row r="36" customFormat="false" ht="15" hidden="false" customHeight="true" outlineLevel="0" collapsed="false">
      <c r="A36" s="4" t="s">
        <v>81</v>
      </c>
      <c r="B36" s="4" t="s">
        <v>82</v>
      </c>
      <c r="C36" s="5" t="n">
        <v>625</v>
      </c>
      <c r="D36" s="5" t="n">
        <v>1500</v>
      </c>
      <c r="E36" s="6" t="n">
        <v>500</v>
      </c>
      <c r="F36" s="7"/>
      <c r="G36" s="8" t="n">
        <f aca="false">MAX(E36,C36*F36)</f>
        <v>500</v>
      </c>
      <c r="H36" s="8" t="n">
        <f aca="false">MAX(E36,D36*F36)</f>
        <v>500</v>
      </c>
      <c r="I36" s="4" t="s">
        <v>83</v>
      </c>
    </row>
    <row r="37" customFormat="false" ht="15" hidden="false" customHeight="true" outlineLevel="0" collapsed="false">
      <c r="A37" s="4" t="s">
        <v>84</v>
      </c>
      <c r="B37" s="4" t="s">
        <v>82</v>
      </c>
      <c r="C37" s="5" t="n">
        <v>1875</v>
      </c>
      <c r="D37" s="5" t="n">
        <v>5000</v>
      </c>
      <c r="E37" s="6" t="n">
        <v>1500</v>
      </c>
      <c r="F37" s="7"/>
      <c r="G37" s="8" t="n">
        <f aca="false">MAX(E37,C37*F37)</f>
        <v>1500</v>
      </c>
      <c r="H37" s="8" t="n">
        <f aca="false">MAX(E37,D37*F37)</f>
        <v>1500</v>
      </c>
      <c r="I37" s="4" t="s">
        <v>85</v>
      </c>
    </row>
    <row r="38" customFormat="false" ht="15" hidden="false" customHeight="true" outlineLevel="0" collapsed="false">
      <c r="A38" s="3" t="s">
        <v>86</v>
      </c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87</v>
      </c>
      <c r="B39" s="4" t="s">
        <v>88</v>
      </c>
      <c r="C39" s="5" t="n">
        <v>750</v>
      </c>
      <c r="D39" s="5" t="n">
        <v>900</v>
      </c>
      <c r="E39" s="6" t="n">
        <v>3500</v>
      </c>
      <c r="F39" s="7"/>
      <c r="G39" s="8" t="n">
        <f aca="false">MAX(E39,C39*F39)</f>
        <v>3500</v>
      </c>
      <c r="H39" s="8" t="n">
        <f aca="false">MAX(E39,D39*F39)</f>
        <v>3500</v>
      </c>
      <c r="I39" s="4" t="s">
        <v>89</v>
      </c>
    </row>
    <row r="40" customFormat="false" ht="15" hidden="false" customHeight="true" outlineLevel="0" collapsed="false">
      <c r="A40" s="4" t="s">
        <v>90</v>
      </c>
      <c r="B40" s="4" t="s">
        <v>91</v>
      </c>
      <c r="C40" s="5" t="n">
        <v>12.5</v>
      </c>
      <c r="D40" s="5" t="n">
        <v>35</v>
      </c>
      <c r="E40" s="6" t="n">
        <v>75</v>
      </c>
      <c r="F40" s="7"/>
      <c r="G40" s="8" t="n">
        <f aca="false">MAX(E40,C40*F40)</f>
        <v>75</v>
      </c>
      <c r="H40" s="8" t="n">
        <f aca="false">MAX(E40,D40*F40)</f>
        <v>75</v>
      </c>
      <c r="I40" s="4" t="s">
        <v>92</v>
      </c>
    </row>
    <row r="41" customFormat="false" ht="15" hidden="false" customHeight="true" outlineLevel="0" collapsed="false">
      <c r="A41" s="4" t="s">
        <v>93</v>
      </c>
      <c r="B41" s="4" t="s">
        <v>94</v>
      </c>
      <c r="C41" s="5" t="n">
        <v>125</v>
      </c>
      <c r="D41" s="5" t="n">
        <v>250</v>
      </c>
      <c r="E41" s="6" t="n">
        <v>100</v>
      </c>
      <c r="F41" s="7"/>
      <c r="G41" s="8" t="n">
        <f aca="false">MAX(E41,C41*F41)</f>
        <v>100</v>
      </c>
      <c r="H41" s="8" t="n">
        <f aca="false">MAX(E41,D41*F41)</f>
        <v>100</v>
      </c>
      <c r="I41" s="4" t="s">
        <v>95</v>
      </c>
    </row>
    <row r="42" customFormat="false" ht="15" hidden="false" customHeight="true" outlineLevel="0" collapsed="false">
      <c r="A42" s="4" t="s">
        <v>96</v>
      </c>
      <c r="B42" s="4" t="s">
        <v>97</v>
      </c>
      <c r="C42" s="5" t="n">
        <v>93.75</v>
      </c>
      <c r="D42" s="5" t="n">
        <v>200</v>
      </c>
      <c r="E42" s="6" t="n">
        <v>75</v>
      </c>
      <c r="F42" s="7"/>
      <c r="G42" s="8" t="n">
        <f aca="false">MAX(E42,C42*F42)</f>
        <v>75</v>
      </c>
      <c r="H42" s="8" t="n">
        <f aca="false">MAX(E42,D42*F42)</f>
        <v>75</v>
      </c>
      <c r="I42" s="4" t="s">
        <v>98</v>
      </c>
    </row>
    <row r="43" customFormat="false" ht="15" hidden="false" customHeight="true" outlineLevel="0" collapsed="false">
      <c r="A43" s="4" t="s">
        <v>99</v>
      </c>
      <c r="B43" s="4" t="s">
        <v>88</v>
      </c>
      <c r="C43" s="5" t="n">
        <v>12.5</v>
      </c>
      <c r="D43" s="5" t="n">
        <v>15</v>
      </c>
      <c r="E43" s="6" t="n">
        <v>50</v>
      </c>
      <c r="F43" s="7"/>
      <c r="G43" s="8" t="n">
        <f aca="false">MAX(E43,C43*F43)</f>
        <v>50</v>
      </c>
      <c r="H43" s="8" t="n">
        <f aca="false">MAX(E43,D43*F43)</f>
        <v>50</v>
      </c>
      <c r="I43" s="4" t="s">
        <v>100</v>
      </c>
    </row>
    <row r="44" customFormat="false" ht="15" hidden="false" customHeight="true" outlineLevel="0" collapsed="false">
      <c r="A44" s="4" t="s">
        <v>101</v>
      </c>
      <c r="B44" s="4" t="s">
        <v>88</v>
      </c>
      <c r="C44" s="5" t="n">
        <v>12.5</v>
      </c>
      <c r="D44" s="5" t="n">
        <v>15</v>
      </c>
      <c r="E44" s="6" t="n">
        <v>65</v>
      </c>
      <c r="F44" s="7"/>
      <c r="G44" s="8" t="n">
        <f aca="false">MAX(E44,C44*F44)</f>
        <v>65</v>
      </c>
      <c r="H44" s="8" t="n">
        <f aca="false">MAX(E44,D44*F44)</f>
        <v>65</v>
      </c>
      <c r="I44" s="4" t="s">
        <v>102</v>
      </c>
    </row>
    <row r="45" customFormat="false" ht="15" hidden="false" customHeight="true" outlineLevel="0" collapsed="false">
      <c r="A45" s="4" t="s">
        <v>103</v>
      </c>
      <c r="B45" s="4" t="s">
        <v>34</v>
      </c>
      <c r="C45" s="5" t="n">
        <v>1.25</v>
      </c>
      <c r="D45" s="5" t="n">
        <v>3</v>
      </c>
      <c r="E45" s="6" t="n">
        <v>200</v>
      </c>
      <c r="F45" s="7"/>
      <c r="G45" s="8" t="n">
        <f aca="false">MAX(E45,C45*F45)</f>
        <v>200</v>
      </c>
      <c r="H45" s="8" t="n">
        <f aca="false">MAX(E45,D45*F45)</f>
        <v>200</v>
      </c>
      <c r="I45" s="4" t="s">
        <v>104</v>
      </c>
    </row>
    <row r="46" customFormat="false" ht="15" hidden="false" customHeight="true" outlineLevel="0" collapsed="false">
      <c r="A46" s="4" t="s">
        <v>105</v>
      </c>
      <c r="B46" s="4" t="s">
        <v>106</v>
      </c>
      <c r="C46" s="5" t="n">
        <v>187.5</v>
      </c>
      <c r="D46" s="5" t="n">
        <v>350</v>
      </c>
      <c r="E46" s="6" t="n">
        <v>500</v>
      </c>
      <c r="F46" s="7"/>
      <c r="G46" s="8" t="n">
        <f aca="false">MAX(E46,C46*F46)</f>
        <v>500</v>
      </c>
      <c r="H46" s="8" t="n">
        <f aca="false">MAX(E46,D46*F46)</f>
        <v>500</v>
      </c>
      <c r="I46" s="4" t="s">
        <v>107</v>
      </c>
    </row>
    <row r="47" customFormat="false" ht="15" hidden="false" customHeight="true" outlineLevel="0" collapsed="false">
      <c r="A47" s="4" t="s">
        <v>108</v>
      </c>
      <c r="B47" s="4" t="s">
        <v>106</v>
      </c>
      <c r="C47" s="5" t="n">
        <v>375</v>
      </c>
      <c r="D47" s="5" t="n">
        <v>600</v>
      </c>
      <c r="E47" s="6" t="n">
        <v>1000</v>
      </c>
      <c r="F47" s="7"/>
      <c r="G47" s="8" t="n">
        <f aca="false">MAX(E47,C47*F47)</f>
        <v>1000</v>
      </c>
      <c r="H47" s="8" t="n">
        <f aca="false">MAX(E47,D47*F47)</f>
        <v>1000</v>
      </c>
      <c r="I47" s="4" t="s">
        <v>109</v>
      </c>
    </row>
    <row r="48" customFormat="false" ht="15" hidden="false" customHeight="true" outlineLevel="0" collapsed="false">
      <c r="A48" s="3" t="s">
        <v>110</v>
      </c>
      <c r="B48" s="3"/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A49" s="4" t="s">
        <v>111</v>
      </c>
      <c r="B49" s="4" t="s">
        <v>112</v>
      </c>
      <c r="C49" s="5" t="n">
        <v>125</v>
      </c>
      <c r="D49" s="5" t="n">
        <v>250</v>
      </c>
      <c r="E49" s="6" t="n">
        <v>100</v>
      </c>
      <c r="F49" s="7"/>
      <c r="G49" s="8" t="n">
        <f aca="false">MAX(E49,C49*F49)</f>
        <v>100</v>
      </c>
      <c r="H49" s="8" t="n">
        <f aca="false">MAX(E49,D49*F49)</f>
        <v>100</v>
      </c>
      <c r="I49" s="4" t="s">
        <v>113</v>
      </c>
    </row>
    <row r="50" customFormat="false" ht="15" hidden="false" customHeight="true" outlineLevel="0" collapsed="false">
      <c r="A50" s="4" t="s">
        <v>114</v>
      </c>
      <c r="B50" s="4" t="s">
        <v>112</v>
      </c>
      <c r="C50" s="5" t="n">
        <v>250</v>
      </c>
      <c r="D50" s="5" t="n">
        <v>450</v>
      </c>
      <c r="E50" s="6" t="n">
        <v>200</v>
      </c>
      <c r="F50" s="7"/>
      <c r="G50" s="8" t="n">
        <f aca="false">MAX(E50,C50*F50)</f>
        <v>200</v>
      </c>
      <c r="H50" s="8" t="n">
        <f aca="false">MAX(E50,D50*F50)</f>
        <v>200</v>
      </c>
      <c r="I50" s="4" t="s">
        <v>115</v>
      </c>
    </row>
    <row r="51" customFormat="false" ht="15" hidden="false" customHeight="true" outlineLevel="0" collapsed="false">
      <c r="A51" s="4" t="s">
        <v>116</v>
      </c>
      <c r="B51" s="4" t="s">
        <v>112</v>
      </c>
      <c r="C51" s="5" t="n">
        <v>500</v>
      </c>
      <c r="D51" s="5" t="n">
        <v>1200</v>
      </c>
      <c r="E51" s="6" t="n">
        <v>400</v>
      </c>
      <c r="F51" s="7"/>
      <c r="G51" s="8" t="n">
        <f aca="false">MAX(E51,C51*F51)</f>
        <v>400</v>
      </c>
      <c r="H51" s="8" t="n">
        <f aca="false">MAX(E51,D51*F51)</f>
        <v>400</v>
      </c>
      <c r="I51" s="4" t="s">
        <v>117</v>
      </c>
    </row>
    <row r="52" customFormat="false" ht="15" hidden="false" customHeight="true" outlineLevel="0" collapsed="false">
      <c r="A52" s="4" t="s">
        <v>118</v>
      </c>
      <c r="B52" s="4" t="s">
        <v>56</v>
      </c>
      <c r="C52" s="5" t="n">
        <v>81.25</v>
      </c>
      <c r="D52" s="5" t="n">
        <v>100</v>
      </c>
      <c r="E52" s="6" t="n">
        <v>145</v>
      </c>
      <c r="F52" s="7"/>
      <c r="G52" s="8" t="n">
        <f aca="false">MAX(E52,C52*F52)</f>
        <v>145</v>
      </c>
      <c r="H52" s="8" t="n">
        <f aca="false">MAX(E52,D52*F52)</f>
        <v>145</v>
      </c>
      <c r="I52" s="4" t="s">
        <v>119</v>
      </c>
    </row>
    <row r="53" customFormat="false" ht="15" hidden="false" customHeight="true" outlineLevel="0" collapsed="false">
      <c r="A53" s="4" t="s">
        <v>120</v>
      </c>
      <c r="B53" s="4" t="s">
        <v>112</v>
      </c>
      <c r="C53" s="5" t="n">
        <v>250</v>
      </c>
      <c r="D53" s="5" t="n">
        <v>500</v>
      </c>
      <c r="E53" s="6" t="n">
        <v>200</v>
      </c>
      <c r="F53" s="7"/>
      <c r="G53" s="8" t="n">
        <f aca="false">MAX(E53,C53*F53)</f>
        <v>200</v>
      </c>
      <c r="H53" s="8" t="n">
        <f aca="false">MAX(E53,D53*F53)</f>
        <v>200</v>
      </c>
      <c r="I53" s="4" t="s">
        <v>121</v>
      </c>
    </row>
    <row r="54" customFormat="false" ht="15" hidden="false" customHeight="true" outlineLevel="0" collapsed="false">
      <c r="A54" s="4" t="s">
        <v>122</v>
      </c>
      <c r="B54" s="4" t="s">
        <v>112</v>
      </c>
      <c r="C54" s="5" t="n">
        <v>625</v>
      </c>
      <c r="D54" s="5" t="n">
        <v>1000</v>
      </c>
      <c r="E54" s="6" t="n">
        <v>500</v>
      </c>
      <c r="F54" s="7"/>
      <c r="G54" s="8" t="n">
        <f aca="false">MAX(E54,C54*F54)</f>
        <v>500</v>
      </c>
      <c r="H54" s="8" t="n">
        <f aca="false">MAX(E54,D54*F54)</f>
        <v>500</v>
      </c>
      <c r="I54" s="4" t="s">
        <v>123</v>
      </c>
    </row>
    <row r="55" customFormat="false" ht="15" hidden="false" customHeight="true" outlineLevel="0" collapsed="false">
      <c r="A55" s="4" t="s">
        <v>124</v>
      </c>
      <c r="B55" s="4" t="s">
        <v>112</v>
      </c>
      <c r="C55" s="5" t="n">
        <v>1250</v>
      </c>
      <c r="D55" s="5" t="n">
        <v>2500</v>
      </c>
      <c r="E55" s="6" t="n">
        <v>1000</v>
      </c>
      <c r="F55" s="7"/>
      <c r="G55" s="8" t="n">
        <f aca="false">MAX(E55,C55*F55)</f>
        <v>1000</v>
      </c>
      <c r="H55" s="8" t="n">
        <f aca="false">MAX(E55,D55*F55)</f>
        <v>1000</v>
      </c>
      <c r="I55" s="4" t="s">
        <v>125</v>
      </c>
    </row>
    <row r="56" customFormat="false" ht="15" hidden="false" customHeight="true" outlineLevel="0" collapsed="false">
      <c r="A56" s="4" t="s">
        <v>126</v>
      </c>
      <c r="B56" s="4" t="s">
        <v>127</v>
      </c>
      <c r="C56" s="5" t="n">
        <v>3.75</v>
      </c>
      <c r="D56" s="5" t="n">
        <v>5</v>
      </c>
      <c r="E56" s="6" t="n">
        <v>100</v>
      </c>
      <c r="F56" s="7"/>
      <c r="G56" s="8" t="n">
        <f aca="false">MAX(E56,C56*F56)</f>
        <v>100</v>
      </c>
      <c r="H56" s="8" t="n">
        <f aca="false">MAX(E56,D56*F56)</f>
        <v>100</v>
      </c>
      <c r="I56" s="4" t="s">
        <v>128</v>
      </c>
    </row>
    <row r="57" customFormat="false" ht="15" hidden="false" customHeight="true" outlineLevel="0" collapsed="false">
      <c r="A57" s="4" t="s">
        <v>129</v>
      </c>
      <c r="B57" s="4" t="s">
        <v>130</v>
      </c>
      <c r="C57" s="5" t="n">
        <v>250</v>
      </c>
      <c r="D57" s="5" t="n">
        <v>600</v>
      </c>
      <c r="E57" s="6" t="n">
        <v>200</v>
      </c>
      <c r="F57" s="7"/>
      <c r="G57" s="8" t="n">
        <f aca="false">MAX(E57,C57*F57)</f>
        <v>200</v>
      </c>
      <c r="H57" s="8" t="n">
        <f aca="false">MAX(E57,D57*F57)</f>
        <v>200</v>
      </c>
      <c r="I57" s="4" t="s">
        <v>131</v>
      </c>
    </row>
    <row r="58" customFormat="false" ht="15" hidden="false" customHeight="true" outlineLevel="0" collapsed="false">
      <c r="A58" s="3" t="s">
        <v>132</v>
      </c>
      <c r="B58" s="3"/>
      <c r="C58" s="3"/>
      <c r="D58" s="3"/>
      <c r="E58" s="3"/>
      <c r="F58" s="3"/>
      <c r="G58" s="3"/>
      <c r="H58" s="3"/>
      <c r="I58" s="3"/>
    </row>
    <row r="59" customFormat="false" ht="15" hidden="false" customHeight="true" outlineLevel="0" collapsed="false">
      <c r="A59" s="4" t="s">
        <v>133</v>
      </c>
      <c r="B59" s="4" t="s">
        <v>11</v>
      </c>
      <c r="C59" s="5" t="n">
        <v>12.5</v>
      </c>
      <c r="D59" s="5" t="n">
        <v>25</v>
      </c>
      <c r="E59" s="6" t="n">
        <v>150</v>
      </c>
      <c r="F59" s="7"/>
      <c r="G59" s="8" t="n">
        <f aca="false">MAX(E59,C59*F59)</f>
        <v>150</v>
      </c>
      <c r="H59" s="8" t="n">
        <f aca="false">MAX(E59,D59*F59)</f>
        <v>150</v>
      </c>
      <c r="I59" s="4" t="s">
        <v>134</v>
      </c>
    </row>
    <row r="60" customFormat="false" ht="15" hidden="false" customHeight="true" outlineLevel="0" collapsed="false">
      <c r="A60" s="4" t="s">
        <v>135</v>
      </c>
      <c r="B60" s="4" t="s">
        <v>11</v>
      </c>
      <c r="C60" s="5" t="n">
        <v>18.75</v>
      </c>
      <c r="D60" s="5" t="n">
        <v>30</v>
      </c>
      <c r="E60" s="6" t="n">
        <v>175</v>
      </c>
      <c r="F60" s="7"/>
      <c r="G60" s="8" t="n">
        <f aca="false">MAX(E60,C60*F60)</f>
        <v>175</v>
      </c>
      <c r="H60" s="8" t="n">
        <f aca="false">MAX(E60,D60*F60)</f>
        <v>175</v>
      </c>
      <c r="I60" s="4" t="s">
        <v>136</v>
      </c>
    </row>
    <row r="61" customFormat="false" ht="15" hidden="false" customHeight="true" outlineLevel="0" collapsed="false">
      <c r="A61" s="4" t="s">
        <v>137</v>
      </c>
      <c r="B61" s="4" t="s">
        <v>56</v>
      </c>
      <c r="C61" s="5" t="n">
        <v>56.25</v>
      </c>
      <c r="D61" s="5" t="n">
        <v>75</v>
      </c>
      <c r="E61" s="6" t="n">
        <v>100</v>
      </c>
      <c r="F61" s="7"/>
      <c r="G61" s="8" t="n">
        <f aca="false">MAX(E61,C61*F61)</f>
        <v>100</v>
      </c>
      <c r="H61" s="8" t="n">
        <f aca="false">MAX(E61,D61*F61)</f>
        <v>100</v>
      </c>
      <c r="I61" s="4" t="s">
        <v>138</v>
      </c>
    </row>
    <row r="62" customFormat="false" ht="15" hidden="false" customHeight="true" outlineLevel="0" collapsed="false">
      <c r="A62" s="4" t="s">
        <v>139</v>
      </c>
      <c r="B62" s="4" t="s">
        <v>34</v>
      </c>
      <c r="C62" s="5" t="n">
        <v>1.25</v>
      </c>
      <c r="D62" s="5" t="n">
        <v>2</v>
      </c>
      <c r="E62" s="6" t="n">
        <v>75</v>
      </c>
      <c r="F62" s="7"/>
      <c r="G62" s="8" t="n">
        <f aca="false">MAX(E62,C62*F62)</f>
        <v>75</v>
      </c>
      <c r="H62" s="8" t="n">
        <f aca="false">MAX(E62,D62*F62)</f>
        <v>75</v>
      </c>
      <c r="I62" s="4" t="s">
        <v>140</v>
      </c>
    </row>
    <row r="63" customFormat="false" ht="15" hidden="false" customHeight="true" outlineLevel="0" collapsed="false">
      <c r="A63" s="4" t="s">
        <v>141</v>
      </c>
      <c r="B63" s="4" t="s">
        <v>82</v>
      </c>
      <c r="C63" s="5" t="n">
        <v>50</v>
      </c>
      <c r="D63" s="5" t="n">
        <v>90</v>
      </c>
      <c r="E63" s="6" t="n">
        <v>40</v>
      </c>
      <c r="F63" s="7"/>
      <c r="G63" s="8" t="n">
        <f aca="false">MAX(E63,C63*F63)</f>
        <v>40</v>
      </c>
      <c r="H63" s="8" t="n">
        <f aca="false">MAX(E63,D63*F63)</f>
        <v>40</v>
      </c>
      <c r="I63" s="4" t="s">
        <v>142</v>
      </c>
    </row>
    <row r="64" customFormat="false" ht="15" hidden="false" customHeight="true" outlineLevel="0" collapsed="false">
      <c r="A64" s="4" t="s">
        <v>143</v>
      </c>
      <c r="B64" s="4" t="s">
        <v>56</v>
      </c>
      <c r="C64" s="5" t="n">
        <v>62.5</v>
      </c>
      <c r="D64" s="5" t="n">
        <v>100</v>
      </c>
      <c r="E64" s="6" t="n">
        <v>50</v>
      </c>
      <c r="F64" s="7"/>
      <c r="G64" s="8" t="n">
        <f aca="false">MAX(E64,C64*F64)</f>
        <v>50</v>
      </c>
      <c r="H64" s="8" t="n">
        <f aca="false">MAX(E64,D64*F64)</f>
        <v>50</v>
      </c>
      <c r="I64" s="4" t="s">
        <v>144</v>
      </c>
    </row>
    <row r="65" customFormat="false" ht="15" hidden="false" customHeight="true" outlineLevel="0" collapsed="false">
      <c r="A65" s="4" t="s">
        <v>145</v>
      </c>
      <c r="B65" s="4" t="s">
        <v>146</v>
      </c>
      <c r="C65" s="5" t="n">
        <v>250</v>
      </c>
      <c r="D65" s="5" t="n">
        <v>600</v>
      </c>
      <c r="E65" s="6" t="n">
        <v>200</v>
      </c>
      <c r="F65" s="7"/>
      <c r="G65" s="8" t="n">
        <f aca="false">MAX(E65,C65*F65)</f>
        <v>200</v>
      </c>
      <c r="H65" s="8" t="n">
        <f aca="false">MAX(E65,D65*F65)</f>
        <v>200</v>
      </c>
      <c r="I65" s="4" t="s">
        <v>147</v>
      </c>
    </row>
    <row r="66" customFormat="false" ht="15" hidden="false" customHeight="true" outlineLevel="0" collapsed="false">
      <c r="A66" s="4" t="s">
        <v>148</v>
      </c>
      <c r="B66" s="4" t="s">
        <v>34</v>
      </c>
      <c r="C66" s="5" t="n">
        <v>3.125</v>
      </c>
      <c r="D66" s="5" t="n">
        <v>7</v>
      </c>
      <c r="E66" s="6" t="n">
        <v>400</v>
      </c>
      <c r="F66" s="7"/>
      <c r="G66" s="8" t="n">
        <f aca="false">MAX(E66,C66*F66)</f>
        <v>400</v>
      </c>
      <c r="H66" s="8" t="n">
        <f aca="false">MAX(E66,D66*F66)</f>
        <v>400</v>
      </c>
      <c r="I66" s="4" t="s">
        <v>149</v>
      </c>
    </row>
    <row r="67" customFormat="false" ht="15" hidden="false" customHeight="true" outlineLevel="0" collapsed="false">
      <c r="A67" s="4" t="s">
        <v>150</v>
      </c>
      <c r="B67" s="4" t="s">
        <v>82</v>
      </c>
      <c r="C67" s="5" t="n">
        <v>500</v>
      </c>
      <c r="D67" s="5" t="n">
        <v>1500</v>
      </c>
      <c r="E67" s="6" t="n">
        <v>400</v>
      </c>
      <c r="F67" s="7"/>
      <c r="G67" s="8" t="n">
        <f aca="false">MAX(E67,C67*F67)</f>
        <v>400</v>
      </c>
      <c r="H67" s="8" t="n">
        <f aca="false">MAX(E67,D67*F67)</f>
        <v>400</v>
      </c>
      <c r="I67" s="4" t="s">
        <v>151</v>
      </c>
    </row>
    <row r="68" customFormat="false" ht="15" hidden="false" customHeight="true" outlineLevel="0" collapsed="false">
      <c r="A68" s="3" t="s">
        <v>152</v>
      </c>
      <c r="B68" s="3"/>
      <c r="C68" s="3"/>
      <c r="D68" s="3"/>
      <c r="E68" s="3"/>
      <c r="F68" s="3"/>
      <c r="G68" s="3"/>
      <c r="H68" s="3"/>
      <c r="I68" s="3"/>
    </row>
    <row r="69" customFormat="false" ht="15" hidden="false" customHeight="true" outlineLevel="0" collapsed="false">
      <c r="A69" s="4" t="s">
        <v>153</v>
      </c>
      <c r="B69" s="4" t="s">
        <v>14</v>
      </c>
      <c r="C69" s="5" t="n">
        <v>93.75</v>
      </c>
      <c r="D69" s="5" t="n">
        <v>150</v>
      </c>
      <c r="E69" s="6" t="n">
        <v>150</v>
      </c>
      <c r="F69" s="7"/>
      <c r="G69" s="8" t="n">
        <f aca="false">MAX(E69,C69*F69)</f>
        <v>150</v>
      </c>
      <c r="H69" s="8" t="n">
        <f aca="false">MAX(E69,D69*F69)</f>
        <v>150</v>
      </c>
      <c r="I69" s="4" t="s">
        <v>154</v>
      </c>
    </row>
    <row r="70" customFormat="false" ht="15" hidden="false" customHeight="true" outlineLevel="0" collapsed="false">
      <c r="A70" s="4" t="s">
        <v>155</v>
      </c>
      <c r="B70" s="4" t="s">
        <v>156</v>
      </c>
      <c r="F70" s="7"/>
      <c r="G70" s="4"/>
      <c r="H70" s="4"/>
      <c r="I70" s="4" t="s">
        <v>157</v>
      </c>
    </row>
    <row r="71" customFormat="false" ht="15" hidden="false" customHeight="true" outlineLevel="0" collapsed="false">
      <c r="A71" s="4" t="s">
        <v>158</v>
      </c>
      <c r="B71" s="4" t="s">
        <v>11</v>
      </c>
      <c r="C71" s="5" t="n">
        <v>0.0375</v>
      </c>
      <c r="D71" s="5" t="n">
        <v>0.08</v>
      </c>
      <c r="E71" s="6" t="n">
        <v>100</v>
      </c>
      <c r="F71" s="7"/>
      <c r="G71" s="8" t="n">
        <f aca="false">MAX(E71,C71*F71)</f>
        <v>100</v>
      </c>
      <c r="H71" s="8" t="n">
        <f aca="false">MAX(E71,D71*F71)</f>
        <v>100</v>
      </c>
      <c r="I71" s="4" t="s">
        <v>159</v>
      </c>
    </row>
    <row r="72" customFormat="false" ht="15" hidden="false" customHeight="true" outlineLevel="0" collapsed="false">
      <c r="A72" s="4" t="s">
        <v>160</v>
      </c>
      <c r="B72" s="4" t="s">
        <v>94</v>
      </c>
      <c r="C72" s="5" t="n">
        <v>125</v>
      </c>
      <c r="D72" s="5" t="n">
        <v>500</v>
      </c>
      <c r="E72" s="6" t="n">
        <v>100</v>
      </c>
      <c r="F72" s="7"/>
      <c r="G72" s="8" t="n">
        <f aca="false">MAX(E72,C72*F72)</f>
        <v>100</v>
      </c>
      <c r="H72" s="8" t="n">
        <f aca="false">MAX(E72,D72*F72)</f>
        <v>100</v>
      </c>
      <c r="I72" s="4" t="s">
        <v>161</v>
      </c>
    </row>
    <row r="73" customFormat="false" ht="15" hidden="false" customHeight="true" outlineLevel="0" collapsed="false">
      <c r="A73" s="4" t="s">
        <v>162</v>
      </c>
      <c r="B73" s="4" t="s">
        <v>11</v>
      </c>
      <c r="C73" s="5" t="n">
        <v>0.1875</v>
      </c>
      <c r="D73" s="5" t="n">
        <v>0.35</v>
      </c>
      <c r="E73" s="6" t="n">
        <v>75</v>
      </c>
      <c r="F73" s="7"/>
      <c r="G73" s="8" t="n">
        <f aca="false">MAX(E73,C73*F73)</f>
        <v>75</v>
      </c>
      <c r="H73" s="8" t="n">
        <f aca="false">MAX(E73,D73*F73)</f>
        <v>75</v>
      </c>
      <c r="I73" s="4" t="s">
        <v>163</v>
      </c>
    </row>
  </sheetData>
  <mergeCells count="7">
    <mergeCell ref="A2:I2"/>
    <mergeCell ref="A17:I17"/>
    <mergeCell ref="A27:I27"/>
    <mergeCell ref="A38:I38"/>
    <mergeCell ref="A48:I48"/>
    <mergeCell ref="A58:I58"/>
    <mergeCell ref="A68:I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0"/>
    <col collapsed="false" customWidth="true" hidden="false" outlineLevel="0" max="3" min="3" style="1" width="25"/>
  </cols>
  <sheetData>
    <row r="1" customFormat="false" ht="15" hidden="false" customHeight="true" outlineLevel="0" collapsed="false">
      <c r="A1" s="9" t="s">
        <v>164</v>
      </c>
      <c r="B1" s="9"/>
      <c r="C1" s="9"/>
    </row>
    <row r="2" customFormat="false" ht="15" hidden="false" customHeight="true" outlineLevel="0" collapsed="false">
      <c r="A2" s="1" t="s">
        <v>165</v>
      </c>
      <c r="B2" s="1" t="s">
        <v>166</v>
      </c>
      <c r="C2" s="1" t="s">
        <v>167</v>
      </c>
    </row>
    <row r="3" customFormat="false" ht="15" hidden="false" customHeight="true" outlineLevel="0" collapsed="false">
      <c r="A3" s="1" t="s">
        <v>168</v>
      </c>
      <c r="B3" s="1" t="s">
        <v>166</v>
      </c>
      <c r="C3" s="1" t="s">
        <v>169</v>
      </c>
    </row>
    <row r="4" customFormat="false" ht="15" hidden="false" customHeight="true" outlineLevel="0" collapsed="false">
      <c r="A4" s="1" t="s">
        <v>170</v>
      </c>
      <c r="B4" s="1" t="s">
        <v>166</v>
      </c>
      <c r="C4" s="1" t="s">
        <v>171</v>
      </c>
    </row>
    <row r="5" customFormat="false" ht="15" hidden="false" customHeight="true" outlineLevel="0" collapsed="false">
      <c r="A5" s="1" t="s">
        <v>172</v>
      </c>
      <c r="B5" s="1" t="s">
        <v>166</v>
      </c>
      <c r="C5" s="1" t="s">
        <v>173</v>
      </c>
    </row>
    <row r="7" customFormat="false" ht="15" hidden="false" customHeight="true" outlineLevel="0" collapsed="false">
      <c r="A7" s="9" t="s">
        <v>174</v>
      </c>
      <c r="B7" s="9"/>
      <c r="C7" s="9"/>
    </row>
    <row r="8" customFormat="false" ht="15" hidden="false" customHeight="true" outlineLevel="0" collapsed="false">
      <c r="A8" s="1" t="s">
        <v>175</v>
      </c>
      <c r="B8" s="1" t="s">
        <v>176</v>
      </c>
      <c r="C8" s="1" t="s">
        <v>177</v>
      </c>
    </row>
    <row r="9" customFormat="false" ht="15" hidden="false" customHeight="true" outlineLevel="0" collapsed="false">
      <c r="A9" s="1" t="s">
        <v>178</v>
      </c>
      <c r="B9" s="1" t="s">
        <v>176</v>
      </c>
      <c r="C9" s="1" t="s">
        <v>179</v>
      </c>
    </row>
    <row r="10" customFormat="false" ht="15" hidden="false" customHeight="true" outlineLevel="0" collapsed="false">
      <c r="A10" s="1" t="s">
        <v>180</v>
      </c>
      <c r="B10" s="1" t="s">
        <v>176</v>
      </c>
      <c r="C10" s="1" t="s">
        <v>181</v>
      </c>
    </row>
    <row r="12" customFormat="false" ht="15" hidden="false" customHeight="true" outlineLevel="0" collapsed="false">
      <c r="A12" s="9" t="s">
        <v>182</v>
      </c>
      <c r="B12" s="9"/>
      <c r="C12" s="9"/>
    </row>
    <row r="13" customFormat="false" ht="15" hidden="false" customHeight="true" outlineLevel="0" collapsed="false">
      <c r="A13" s="1" t="s">
        <v>183</v>
      </c>
      <c r="B13" s="1" t="s">
        <v>176</v>
      </c>
      <c r="C13" s="1" t="s">
        <v>184</v>
      </c>
    </row>
    <row r="14" customFormat="false" ht="15" hidden="false" customHeight="true" outlineLevel="0" collapsed="false">
      <c r="A14" s="1" t="s">
        <v>185</v>
      </c>
      <c r="B14" s="1" t="s">
        <v>176</v>
      </c>
      <c r="C14" s="1" t="s">
        <v>186</v>
      </c>
    </row>
    <row r="16" customFormat="false" ht="15" hidden="false" customHeight="true" outlineLevel="0" collapsed="false">
      <c r="A16" s="9" t="s">
        <v>187</v>
      </c>
      <c r="B16" s="9"/>
      <c r="C16" s="9"/>
    </row>
    <row r="17" customFormat="false" ht="15" hidden="false" customHeight="true" outlineLevel="0" collapsed="false">
      <c r="A17" s="1" t="s">
        <v>188</v>
      </c>
      <c r="B17" s="1" t="s">
        <v>166</v>
      </c>
      <c r="C17" s="1" t="s">
        <v>189</v>
      </c>
    </row>
    <row r="18" customFormat="false" ht="15" hidden="false" customHeight="true" outlineLevel="0" collapsed="false">
      <c r="A18" s="1" t="s">
        <v>190</v>
      </c>
      <c r="B18" s="1" t="s">
        <v>166</v>
      </c>
      <c r="C18" s="1" t="s">
        <v>191</v>
      </c>
    </row>
    <row r="19" customFormat="false" ht="15" hidden="false" customHeight="true" outlineLevel="0" collapsed="false">
      <c r="A19" s="1" t="s">
        <v>192</v>
      </c>
      <c r="B19" s="1" t="s">
        <v>166</v>
      </c>
      <c r="C19" s="1" t="s">
        <v>193</v>
      </c>
    </row>
    <row r="21" customFormat="false" ht="15" hidden="false" customHeight="true" outlineLevel="0" collapsed="false">
      <c r="A21" s="9" t="s">
        <v>194</v>
      </c>
      <c r="B21" s="9"/>
      <c r="C21" s="9"/>
    </row>
    <row r="22" customFormat="false" ht="15" hidden="false" customHeight="true" outlineLevel="0" collapsed="false">
      <c r="A22" s="1" t="s">
        <v>195</v>
      </c>
      <c r="B22" s="1" t="s">
        <v>166</v>
      </c>
      <c r="C22" s="1" t="s">
        <v>196</v>
      </c>
    </row>
    <row r="23" customFormat="false" ht="15" hidden="false" customHeight="true" outlineLevel="0" collapsed="false">
      <c r="A23" s="1" t="s">
        <v>197</v>
      </c>
      <c r="B23" s="1" t="s">
        <v>166</v>
      </c>
      <c r="C23" s="1" t="s">
        <v>198</v>
      </c>
    </row>
    <row r="25" customFormat="false" ht="15" hidden="false" customHeight="true" outlineLevel="0" collapsed="false">
      <c r="A25" s="9" t="s">
        <v>199</v>
      </c>
      <c r="B25" s="9"/>
      <c r="C25" s="9"/>
    </row>
    <row r="26" customFormat="false" ht="15" hidden="false" customHeight="true" outlineLevel="0" collapsed="false">
      <c r="A26" s="1" t="s">
        <v>200</v>
      </c>
      <c r="B26" s="1" t="s">
        <v>166</v>
      </c>
      <c r="C26" s="1" t="s">
        <v>201</v>
      </c>
    </row>
    <row r="27" customFormat="false" ht="15" hidden="false" customHeight="true" outlineLevel="0" collapsed="false">
      <c r="A27" s="1" t="s">
        <v>202</v>
      </c>
      <c r="B27" s="1" t="s">
        <v>166</v>
      </c>
      <c r="C27" s="1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5" min="4" style="1" width="15"/>
  </cols>
  <sheetData>
    <row r="1" customFormat="false" ht="15" hidden="false" customHeight="true" outlineLevel="0" collapsed="false">
      <c r="A1" s="10" t="s">
        <v>0</v>
      </c>
      <c r="B1" s="10" t="s">
        <v>204</v>
      </c>
      <c r="C1" s="10" t="s">
        <v>1</v>
      </c>
      <c r="D1" s="10" t="s">
        <v>205</v>
      </c>
      <c r="E1" s="10" t="s">
        <v>206</v>
      </c>
    </row>
    <row r="2" customFormat="false" ht="15" hidden="false" customHeight="true" outlineLevel="0" collapsed="false">
      <c r="A2" s="4"/>
      <c r="B2" s="7"/>
      <c r="C2" s="4"/>
      <c r="D2" s="11"/>
      <c r="E2" s="8" t="n">
        <f aca="false">B2*D2</f>
        <v>0</v>
      </c>
    </row>
    <row r="3" customFormat="false" ht="15" hidden="false" customHeight="true" outlineLevel="0" collapsed="false">
      <c r="A3" s="4"/>
      <c r="B3" s="7"/>
      <c r="C3" s="4"/>
      <c r="D3" s="11"/>
      <c r="E3" s="8" t="n">
        <f aca="false">B3*D3</f>
        <v>0</v>
      </c>
    </row>
    <row r="4" customFormat="false" ht="15" hidden="false" customHeight="true" outlineLevel="0" collapsed="false">
      <c r="A4" s="4"/>
      <c r="B4" s="7"/>
      <c r="C4" s="4"/>
      <c r="D4" s="11"/>
      <c r="E4" s="8" t="n">
        <f aca="false">B4*D4</f>
        <v>0</v>
      </c>
    </row>
    <row r="5" customFormat="false" ht="15" hidden="false" customHeight="true" outlineLevel="0" collapsed="false">
      <c r="A5" s="4"/>
      <c r="B5" s="7"/>
      <c r="C5" s="4"/>
      <c r="D5" s="11"/>
      <c r="E5" s="8" t="n">
        <f aca="false">B5*D5</f>
        <v>0</v>
      </c>
    </row>
    <row r="6" customFormat="false" ht="15" hidden="false" customHeight="true" outlineLevel="0" collapsed="false">
      <c r="A6" s="4"/>
      <c r="B6" s="7"/>
      <c r="C6" s="4"/>
      <c r="D6" s="11"/>
      <c r="E6" s="8" t="n">
        <f aca="false">B6*D6</f>
        <v>0</v>
      </c>
    </row>
    <row r="7" customFormat="false" ht="15" hidden="false" customHeight="true" outlineLevel="0" collapsed="false">
      <c r="A7" s="4"/>
      <c r="B7" s="7"/>
      <c r="C7" s="4"/>
      <c r="D7" s="11"/>
      <c r="E7" s="8" t="n">
        <f aca="false">B7*D7</f>
        <v>0</v>
      </c>
    </row>
    <row r="8" customFormat="false" ht="15" hidden="false" customHeight="true" outlineLevel="0" collapsed="false">
      <c r="A8" s="4"/>
      <c r="B8" s="7"/>
      <c r="C8" s="4"/>
      <c r="D8" s="11"/>
      <c r="E8" s="8" t="n">
        <f aca="false">B8*D8</f>
        <v>0</v>
      </c>
    </row>
    <row r="9" customFormat="false" ht="15" hidden="false" customHeight="true" outlineLevel="0" collapsed="false">
      <c r="A9" s="4"/>
      <c r="B9" s="7"/>
      <c r="C9" s="4"/>
      <c r="D9" s="11"/>
      <c r="E9" s="8" t="n">
        <f aca="false">B9*D9</f>
        <v>0</v>
      </c>
    </row>
    <row r="10" customFormat="false" ht="15" hidden="false" customHeight="true" outlineLevel="0" collapsed="false">
      <c r="A10" s="4"/>
      <c r="B10" s="7"/>
      <c r="C10" s="4"/>
      <c r="D10" s="11"/>
      <c r="E10" s="8" t="n">
        <f aca="false">B10*D10</f>
        <v>0</v>
      </c>
    </row>
    <row r="11" customFormat="false" ht="15" hidden="false" customHeight="true" outlineLevel="0" collapsed="false">
      <c r="A11" s="4"/>
      <c r="B11" s="7"/>
      <c r="C11" s="4"/>
      <c r="D11" s="11"/>
      <c r="E11" s="8" t="n">
        <f aca="false">B11*D11</f>
        <v>0</v>
      </c>
    </row>
    <row r="12" customFormat="false" ht="15" hidden="false" customHeight="true" outlineLevel="0" collapsed="false">
      <c r="A12" s="4"/>
      <c r="B12" s="7"/>
      <c r="C12" s="4"/>
      <c r="D12" s="11"/>
      <c r="E12" s="8" t="n">
        <f aca="false">B12*D12</f>
        <v>0</v>
      </c>
    </row>
    <row r="13" customFormat="false" ht="15" hidden="false" customHeight="true" outlineLevel="0" collapsed="false">
      <c r="A13" s="4"/>
      <c r="B13" s="7"/>
      <c r="C13" s="4"/>
      <c r="D13" s="11"/>
      <c r="E13" s="8" t="n">
        <f aca="false">B13*D13</f>
        <v>0</v>
      </c>
    </row>
    <row r="14" customFormat="false" ht="15" hidden="false" customHeight="true" outlineLevel="0" collapsed="false">
      <c r="A14" s="4"/>
      <c r="B14" s="7"/>
      <c r="C14" s="4"/>
      <c r="D14" s="11"/>
      <c r="E14" s="8" t="n">
        <f aca="false">B14*D14</f>
        <v>0</v>
      </c>
    </row>
    <row r="15" customFormat="false" ht="15" hidden="false" customHeight="true" outlineLevel="0" collapsed="false">
      <c r="A15" s="4"/>
      <c r="B15" s="7"/>
      <c r="C15" s="4"/>
      <c r="D15" s="11"/>
      <c r="E15" s="8" t="n">
        <f aca="false">B15*D15</f>
        <v>0</v>
      </c>
    </row>
    <row r="16" customFormat="false" ht="15" hidden="false" customHeight="true" outlineLevel="0" collapsed="false">
      <c r="A16" s="4"/>
      <c r="B16" s="7"/>
      <c r="C16" s="4"/>
      <c r="D16" s="11"/>
      <c r="E16" s="8" t="n">
        <f aca="false">B16*D16</f>
        <v>0</v>
      </c>
    </row>
    <row r="18" customFormat="false" ht="15" hidden="false" customHeight="true" outlineLevel="0" collapsed="false">
      <c r="D18" s="12" t="s">
        <v>207</v>
      </c>
      <c r="E18" s="13" t="n">
        <f aca="false">SUM(E2:E16)</f>
        <v>0</v>
      </c>
    </row>
    <row r="19" customFormat="false" ht="15" hidden="false" customHeight="true" outlineLevel="0" collapsed="false">
      <c r="D19" s="12" t="s">
        <v>208</v>
      </c>
      <c r="E19" s="14"/>
    </row>
    <row r="20" customFormat="false" ht="17.25" hidden="false" customHeight="true" outlineLevel="0" collapsed="false">
      <c r="D20" s="15" t="s">
        <v>209</v>
      </c>
      <c r="E20" s="16" t="n">
        <f aca="false">E18+E19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2026-01-21T02:02:00Z</dcterms:created>
  <dc:creator>openpyxl</dc:creator>
  <dc:description/>
  <dc:language>en-US</dc:language>
  <cp:lastModifiedBy/>
  <dcterms:modified xsi:type="dcterms:W3CDTF">2026-01-21T02:14:37Z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